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明细" sheetId="1" state="visible" r:id="rId1"/>
    <sheet xmlns:r="http://schemas.openxmlformats.org/officeDocument/2006/relationships" name="总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1F4E78"/>
    </font>
    <font>
      <b val="1"/>
      <color rgb="00FFFFFF"/>
    </font>
    <font>
      <b val="1"/>
      <color rgb="001F4E78"/>
      <sz val="13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2" fillId="5" borderId="1" pivotButton="0" quotePrefix="0" xfId="0"/>
    <xf numFmtId="164" fontId="2" fillId="5" borderId="1" pivotButton="0" quotePrefix="0" xfId="0"/>
    <xf numFmtId="2" fontId="2" fillId="5" borderId="1" pivotButton="0" quotePrefix="0" xfId="0"/>
    <xf numFmtId="0" fontId="4" fillId="2" borderId="1" pivotButton="0" quotePrefix="0" xfId="0"/>
    <xf numFmtId="164" fontId="4" fillId="2" borderId="1" pivotButton="0" quotePrefix="0" xfId="0"/>
    <xf numFmtId="2" fontId="4" fillId="2" borderId="1" pivotButton="0" quotePrefix="0" xfId="0"/>
    <xf numFmtId="0" fontId="5" fillId="0" borderId="0" pivotButton="0" quotePrefix="0" xfId="0"/>
    <xf numFmtId="0" fontId="3" fillId="4" borderId="1" pivotButton="0" quotePrefix="0" xfId="0"/>
    <xf numFmtId="9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8" customWidth="1" min="3" max="3"/>
    <col width="12" customWidth="1" min="4" max="4"/>
    <col width="10" customWidth="1" min="5" max="5"/>
    <col width="14" customWidth="1" min="6" max="6"/>
  </cols>
  <sheetData>
    <row r="1" ht="28" customHeight="1">
      <c r="A1" s="1" t="inlineStr">
        <is>
          <t>AI智能客服售前跟进系统 工程报价单</t>
        </is>
      </c>
    </row>
    <row r="3">
      <c r="A3" s="2" t="inlineStr">
        <is>
          <t>项目名称</t>
        </is>
      </c>
      <c r="B3" t="inlineStr">
        <is>
          <t>AI智能客服售前跟进系统</t>
        </is>
      </c>
    </row>
    <row r="4">
      <c r="A4" s="2" t="inlineStr">
        <is>
          <t>报价版本</t>
        </is>
      </c>
      <c r="B4" t="inlineStr">
        <is>
          <t>v1.0</t>
        </is>
      </c>
    </row>
    <row r="5">
      <c r="A5" s="2" t="inlineStr">
        <is>
          <t>报价日期</t>
        </is>
      </c>
      <c r="B5" t="inlineStr">
        <is>
          <t>2026-05-20</t>
        </is>
      </c>
    </row>
    <row r="6">
      <c r="A6" s="2" t="inlineStr">
        <is>
          <t>人天单价</t>
        </is>
      </c>
      <c r="B6" s="3" t="n">
        <v>1500</v>
      </c>
    </row>
    <row r="7">
      <c r="A7" s="2" t="inlineStr">
        <is>
          <t>总工程量</t>
        </is>
      </c>
      <c r="B7" s="4">
        <f>E66</f>
        <v/>
      </c>
    </row>
    <row r="8">
      <c r="A8" s="2" t="inlineStr">
        <is>
          <t>项目总价</t>
        </is>
      </c>
      <c r="B8" s="5">
        <f>F66</f>
        <v/>
      </c>
    </row>
    <row r="9" ht="34" customHeight="1">
      <c r="D9" s="5" t="n"/>
      <c r="E9" s="6" t="n"/>
      <c r="F9" s="5" t="n"/>
    </row>
    <row r="10" ht="34" customHeight="1">
      <c r="A10" s="7" t="inlineStr">
        <is>
          <t>一级模块</t>
        </is>
      </c>
      <c r="B10" s="7" t="inlineStr">
        <is>
          <t>子模块</t>
        </is>
      </c>
      <c r="C10" s="7" t="inlineStr">
        <is>
          <t>备注</t>
        </is>
      </c>
      <c r="D10" s="8" t="inlineStr">
        <is>
          <t>人天单价</t>
        </is>
      </c>
      <c r="E10" s="9" t="inlineStr">
        <is>
          <t>人天</t>
        </is>
      </c>
      <c r="F10" s="8" t="inlineStr">
        <is>
          <t>金额</t>
        </is>
      </c>
    </row>
    <row r="11" ht="34" customHeight="1">
      <c r="A11" s="10" t="inlineStr">
        <is>
          <t>1. 线索与销售任务</t>
        </is>
      </c>
      <c r="B11" s="10" t="inlineStr">
        <is>
          <t>手机号线索导入/录入</t>
        </is>
      </c>
      <c r="C11" s="10" t="inlineStr">
        <is>
          <t>支持导入小风车手机号线索</t>
        </is>
      </c>
      <c r="D11" s="11" t="n">
        <v>1500</v>
      </c>
      <c r="E11" s="12" t="n">
        <v>0.25</v>
      </c>
      <c r="F11" s="11">
        <f>D11*E11</f>
        <v/>
      </c>
    </row>
    <row r="12" ht="34" customHeight="1">
      <c r="A12" s="10" t="inlineStr">
        <is>
          <t>1. 线索与销售任务</t>
        </is>
      </c>
      <c r="B12" s="10" t="inlineStr">
        <is>
          <t>线索状态流转</t>
        </is>
      </c>
      <c r="C12" s="10" t="inlineStr">
        <is>
          <t>记录待添加、已申请、已通过、已接管等状态</t>
        </is>
      </c>
      <c r="D12" s="11" t="n">
        <v>1500</v>
      </c>
      <c r="E12" s="12" t="n">
        <v>0.25</v>
      </c>
      <c r="F12" s="11">
        <f>D12*E12</f>
        <v/>
      </c>
    </row>
    <row r="13" ht="34" customHeight="1">
      <c r="A13" s="10" t="inlineStr">
        <is>
          <t>1. 线索与销售任务</t>
        </is>
      </c>
      <c r="B13" s="10" t="inlineStr">
        <is>
          <t>销售库/微信账号配置</t>
        </is>
      </c>
      <c r="C13" s="10" t="inlineStr">
        <is>
          <t>配置销售及对应微信设备</t>
        </is>
      </c>
      <c r="D13" s="11" t="n">
        <v>1500</v>
      </c>
      <c r="E13" s="12" t="n">
        <v>0.25</v>
      </c>
      <c r="F13" s="11">
        <f>D13*E13</f>
        <v/>
      </c>
    </row>
    <row r="14" ht="34" customHeight="1">
      <c r="A14" s="10" t="inlineStr">
        <is>
          <t>1. 线索与销售任务</t>
        </is>
      </c>
      <c r="B14" s="10" t="inlineStr">
        <is>
          <t>简单分配规则</t>
        </is>
      </c>
      <c r="C14" s="10" t="inlineStr">
        <is>
          <t>按销售容量或手动规则分配线索</t>
        </is>
      </c>
      <c r="D14" s="11" t="n">
        <v>1500</v>
      </c>
      <c r="E14" s="12" t="n">
        <v>0.5</v>
      </c>
      <c r="F14" s="11">
        <f>D14*E14</f>
        <v/>
      </c>
    </row>
    <row r="15" ht="34" customHeight="1">
      <c r="A15" s="10" t="inlineStr">
        <is>
          <t>1. 线索与销售任务</t>
        </is>
      </c>
      <c r="B15" s="10" t="inlineStr">
        <is>
          <t>加好友任务生成</t>
        </is>
      </c>
      <c r="C15" s="10" t="inlineStr">
        <is>
          <t>根据线索生成微信添加任务</t>
        </is>
      </c>
      <c r="D15" s="11" t="n">
        <v>1500</v>
      </c>
      <c r="E15" s="12" t="n">
        <v>0.5</v>
      </c>
      <c r="F15" s="11">
        <f>D15*E15</f>
        <v/>
      </c>
    </row>
    <row r="16" ht="34" customHeight="1">
      <c r="A16" s="10" t="inlineStr">
        <is>
          <t>1. 线索与销售任务</t>
        </is>
      </c>
      <c r="B16" s="10" t="inlineStr">
        <is>
          <t>任务列表/基础筛选</t>
        </is>
      </c>
      <c r="C16" s="10" t="inlineStr">
        <is>
          <t>查看任务状态和失败任务</t>
        </is>
      </c>
      <c r="D16" s="11" t="n">
        <v>1500</v>
      </c>
      <c r="E16" s="12" t="n">
        <v>0.25</v>
      </c>
      <c r="F16" s="11">
        <f>D16*E16</f>
        <v/>
      </c>
    </row>
    <row r="17" ht="34" customHeight="1">
      <c r="A17" s="13" t="inlineStr">
        <is>
          <t>1. 线索与销售任务</t>
        </is>
      </c>
      <c r="B17" s="13" t="inlineStr">
        <is>
          <t>小计</t>
        </is>
      </c>
      <c r="C17" s="13" t="n"/>
      <c r="D17" s="14" t="n"/>
      <c r="E17" s="15">
        <f>SUM(E11:E16)</f>
        <v/>
      </c>
      <c r="F17" s="14">
        <f>SUM(F11:F16)</f>
        <v/>
      </c>
    </row>
    <row r="18" ht="34" customHeight="1">
      <c r="A18" s="10" t="inlineStr">
        <is>
          <t>2. RPA加好友与备注绑定</t>
        </is>
      </c>
      <c r="B18" s="10" t="inlineStr">
        <is>
          <t>手机号搜索流程</t>
        </is>
      </c>
      <c r="C18" s="10" t="inlineStr">
        <is>
          <t>控制微信按手机号搜索客户</t>
        </is>
      </c>
      <c r="D18" s="11" t="n">
        <v>1500</v>
      </c>
      <c r="E18" s="12" t="n">
        <v>1</v>
      </c>
      <c r="F18" s="11">
        <f>D18*E18</f>
        <v/>
      </c>
    </row>
    <row r="19" ht="34" customHeight="1">
      <c r="A19" s="10" t="inlineStr">
        <is>
          <t>2. RPA加好友与备注绑定</t>
        </is>
      </c>
      <c r="B19" s="10" t="inlineStr">
        <is>
          <t>固定好友申请语</t>
        </is>
      </c>
      <c r="C19" s="10" t="inlineStr">
        <is>
          <t>发送统一添加好友话术</t>
        </is>
      </c>
      <c r="D19" s="11" t="n">
        <v>1500</v>
      </c>
      <c r="E19" s="12" t="n">
        <v>0.5</v>
      </c>
      <c r="F19" s="11">
        <f>D19*E19</f>
        <v/>
      </c>
    </row>
    <row r="20" ht="34" customHeight="1">
      <c r="A20" s="10" t="inlineStr">
        <is>
          <t>2. RPA加好友与备注绑定</t>
        </is>
      </c>
      <c r="B20" s="10" t="inlineStr">
        <is>
          <t>提交申请与结果记录</t>
        </is>
      </c>
      <c r="C20" s="10" t="inlineStr">
        <is>
          <t>记录申请成功、失败、异常</t>
        </is>
      </c>
      <c r="D20" s="11" t="n">
        <v>1500</v>
      </c>
      <c r="E20" s="12" t="n">
        <v>0.5</v>
      </c>
      <c r="F20" s="11">
        <f>D20*E20</f>
        <v/>
      </c>
    </row>
    <row r="21" ht="34" customHeight="1">
      <c r="A21" s="10" t="inlineStr">
        <is>
          <t>2. RPA加好友与备注绑定</t>
        </is>
      </c>
      <c r="B21" s="10" t="inlineStr">
        <is>
          <t>备注规则生成</t>
        </is>
      </c>
      <c r="C21" s="10" t="inlineStr">
        <is>
          <t>生成线索短码备注</t>
        </is>
      </c>
      <c r="D21" s="11" t="n">
        <v>1500</v>
      </c>
      <c r="E21" s="12" t="n">
        <v>0.5</v>
      </c>
      <c r="F21" s="11">
        <f>D21*E21</f>
        <v/>
      </c>
    </row>
    <row r="22" ht="34" customHeight="1">
      <c r="A22" s="10" t="inlineStr">
        <is>
          <t>2. RPA加好友与备注绑定</t>
        </is>
      </c>
      <c r="B22" s="10" t="inlineStr">
        <is>
          <t>会话标题/备注匹配绑定</t>
        </is>
      </c>
      <c r="C22" s="10" t="inlineStr">
        <is>
          <t>将微信会话绑定回线索</t>
        </is>
      </c>
      <c r="D22" s="11" t="n">
        <v>1500</v>
      </c>
      <c r="E22" s="12" t="n">
        <v>0.5</v>
      </c>
      <c r="F22" s="11">
        <f>D22*E22</f>
        <v/>
      </c>
    </row>
    <row r="23" ht="34" customHeight="1">
      <c r="A23" s="10" t="inlineStr">
        <is>
          <t>2. RPA加好友与备注绑定</t>
        </is>
      </c>
      <c r="B23" s="10" t="inlineStr">
        <is>
          <t>RPA异常重试与失败原因</t>
        </is>
      </c>
      <c r="C23" s="10" t="inlineStr">
        <is>
          <t>处理搜索失败、控件异常、发送失败</t>
        </is>
      </c>
      <c r="D23" s="11" t="n">
        <v>1500</v>
      </c>
      <c r="E23" s="12" t="n">
        <v>0.5</v>
      </c>
      <c r="F23" s="11">
        <f>D23*E23</f>
        <v/>
      </c>
    </row>
    <row r="24" ht="34" customHeight="1">
      <c r="A24" s="10" t="inlineStr">
        <is>
          <t>2. RPA加好友与备注绑定</t>
        </is>
      </c>
      <c r="B24" s="10" t="inlineStr">
        <is>
          <t>单机Worker心跳/状态上报</t>
        </is>
      </c>
      <c r="C24" s="10" t="inlineStr">
        <is>
          <t>上报销售电脑在线和运行状态</t>
        </is>
      </c>
      <c r="D24" s="11" t="n">
        <v>1500</v>
      </c>
      <c r="E24" s="12" t="n">
        <v>0.5</v>
      </c>
      <c r="F24" s="11">
        <f>D24*E24</f>
        <v/>
      </c>
    </row>
    <row r="25" ht="34" customHeight="1">
      <c r="A25" s="13" t="inlineStr">
        <is>
          <t>2. RPA加好友与备注绑定</t>
        </is>
      </c>
      <c r="B25" s="13" t="inlineStr">
        <is>
          <t>小计</t>
        </is>
      </c>
      <c r="C25" s="13" t="n"/>
      <c r="D25" s="14" t="n"/>
      <c r="E25" s="15">
        <f>SUM(E18:E24)</f>
        <v/>
      </c>
      <c r="F25" s="14">
        <f>SUM(F18:F24)</f>
        <v/>
      </c>
    </row>
    <row r="26" ht="34" customHeight="1">
      <c r="A26" s="10" t="inlineStr">
        <is>
          <t>3. 文字AI回复链路</t>
        </is>
      </c>
      <c r="B26" s="10" t="inlineStr">
        <is>
          <t>接入现有OmniAuto文字回复</t>
        </is>
      </c>
      <c r="C26" s="10" t="inlineStr">
        <is>
          <t>复用已有微信AI客服文字能力</t>
        </is>
      </c>
      <c r="D26" s="11" t="n">
        <v>1500</v>
      </c>
      <c r="E26" s="12" t="n">
        <v>2.5</v>
      </c>
      <c r="F26" s="11">
        <f>D26*E26</f>
        <v/>
      </c>
    </row>
    <row r="27" ht="34" customHeight="1">
      <c r="A27" s="10" t="inlineStr">
        <is>
          <t>3. 文字AI回复链路</t>
        </is>
      </c>
      <c r="B27" s="10" t="inlineStr">
        <is>
          <t>会话上下文绑定线索</t>
        </is>
      </c>
      <c r="C27" s="10" t="inlineStr">
        <is>
          <t>让AI知道当前客户对应哪条线索</t>
        </is>
      </c>
      <c r="D27" s="11" t="n">
        <v>1500</v>
      </c>
      <c r="E27" s="12" t="n">
        <v>2</v>
      </c>
      <c r="F27" s="11">
        <f>D27*E27</f>
        <v/>
      </c>
    </row>
    <row r="28" ht="34" customHeight="1">
      <c r="A28" s="10" t="inlineStr">
        <is>
          <t>3. 文字AI回复链路</t>
        </is>
      </c>
      <c r="B28" s="10" t="inlineStr">
        <is>
          <t>最多轮次/停止规则</t>
        </is>
      </c>
      <c r="C28" s="10" t="inlineStr">
        <is>
          <t>控制最多回复轮次和停止条件</t>
        </is>
      </c>
      <c r="D28" s="11" t="n">
        <v>1500</v>
      </c>
      <c r="E28" s="12" t="n">
        <v>1.5</v>
      </c>
      <c r="F28" s="11">
        <f>D28*E28</f>
        <v/>
      </c>
    </row>
    <row r="29" ht="34" customHeight="1">
      <c r="A29" s="10" t="inlineStr">
        <is>
          <t>3. 文字AI回复链路</t>
        </is>
      </c>
      <c r="B29" s="10" t="inlineStr">
        <is>
          <t>销售手动回复后AI停止</t>
        </is>
      </c>
      <c r="C29" s="10" t="inlineStr">
        <is>
          <t>检测销售发言后暂停AI</t>
        </is>
      </c>
      <c r="D29" s="11" t="n">
        <v>1500</v>
      </c>
      <c r="E29" s="12" t="n">
        <v>2</v>
      </c>
      <c r="F29" s="11">
        <f>D29*E29</f>
        <v/>
      </c>
    </row>
    <row r="30" ht="34" customHeight="1">
      <c r="A30" s="10" t="inlineStr">
        <is>
          <t>3. 文字AI回复链路</t>
        </is>
      </c>
      <c r="B30" s="10" t="inlineStr">
        <is>
          <t>高风险问题转人工</t>
        </is>
      </c>
      <c r="C30" s="10" t="inlineStr">
        <is>
          <t>价格、车况、金融等敏感问题转人工</t>
        </is>
      </c>
      <c r="D30" s="11" t="n">
        <v>1500</v>
      </c>
      <c r="E30" s="12" t="n">
        <v>2</v>
      </c>
      <c r="F30" s="11">
        <f>D30*E30</f>
        <v/>
      </c>
    </row>
    <row r="31" ht="34" customHeight="1">
      <c r="A31" s="10" t="inlineStr">
        <is>
          <t>3. 文字AI回复链路</t>
        </is>
      </c>
      <c r="B31" s="10" t="inlineStr">
        <is>
          <t>回复审计记录</t>
        </is>
      </c>
      <c r="C31" s="10" t="inlineStr">
        <is>
          <t>保存AI回复、原因和命中规则</t>
        </is>
      </c>
      <c r="D31" s="11" t="n">
        <v>1500</v>
      </c>
      <c r="E31" s="12" t="n">
        <v>1.5</v>
      </c>
      <c r="F31" s="11">
        <f>D31*E31</f>
        <v/>
      </c>
    </row>
    <row r="32" ht="34" customHeight="1">
      <c r="A32" s="13" t="inlineStr">
        <is>
          <t>3. 文字AI回复链路</t>
        </is>
      </c>
      <c r="B32" s="13" t="inlineStr">
        <is>
          <t>小计</t>
        </is>
      </c>
      <c r="C32" s="13" t="n"/>
      <c r="D32" s="14" t="n"/>
      <c r="E32" s="15">
        <f>SUM(E26:E31)</f>
        <v/>
      </c>
      <c r="F32" s="14">
        <f>SUM(F26:F31)</f>
        <v/>
      </c>
    </row>
    <row r="33" ht="34" customHeight="1">
      <c r="A33" s="10" t="inlineStr">
        <is>
          <t>4. 图片采集与视觉理解</t>
        </is>
      </c>
      <c r="B33" s="10" t="inlineStr">
        <is>
          <t>图片消息识别（type=3）</t>
        </is>
      </c>
      <c r="C33" s="10" t="inlineStr">
        <is>
          <t>识别微信图片消息</t>
        </is>
      </c>
      <c r="D33" s="11" t="n">
        <v>1500</v>
      </c>
      <c r="E33" s="12" t="n">
        <v>1.5</v>
      </c>
      <c r="F33" s="11">
        <f>D33*E33</f>
        <v/>
      </c>
    </row>
    <row r="34" ht="34" customHeight="1">
      <c r="A34" s="10" t="inlineStr">
        <is>
          <t>4. 图片采集与视觉理解</t>
        </is>
      </c>
      <c r="B34" s="10" t="inlineStr">
        <is>
          <t>RPA点开图片</t>
        </is>
      </c>
      <c r="C34" s="10" t="inlineStr">
        <is>
          <t>自动打开客户发来的图片</t>
        </is>
      </c>
      <c r="D34" s="11" t="n">
        <v>1500</v>
      </c>
      <c r="E34" s="12" t="n">
        <v>2.5</v>
      </c>
      <c r="F34" s="11">
        <f>D34*E34</f>
        <v/>
      </c>
    </row>
    <row r="35" ht="34" customHeight="1">
      <c r="A35" s="10" t="inlineStr">
        <is>
          <t>4. 图片采集与视觉理解</t>
        </is>
      </c>
      <c r="B35" s="10" t="inlineStr">
        <is>
          <t>图片另存本地</t>
        </is>
      </c>
      <c r="C35" s="10" t="inlineStr">
        <is>
          <t>保存图片供模型识别</t>
        </is>
      </c>
      <c r="D35" s="11" t="n">
        <v>1500</v>
      </c>
      <c r="E35" s="12" t="n">
        <v>2</v>
      </c>
      <c r="F35" s="11">
        <f>D35*E35</f>
        <v/>
      </c>
    </row>
    <row r="36" ht="34" customHeight="1">
      <c r="A36" s="10" t="inlineStr">
        <is>
          <t>4. 图片采集与视觉理解</t>
        </is>
      </c>
      <c r="B36" s="10" t="inlineStr">
        <is>
          <t>图片资产入库</t>
        </is>
      </c>
      <c r="C36" s="10" t="inlineStr">
        <is>
          <t>记录图片路径、来源会话和线索</t>
        </is>
      </c>
      <c r="D36" s="11" t="n">
        <v>1500</v>
      </c>
      <c r="E36" s="12" t="n">
        <v>1.5</v>
      </c>
      <c r="F36" s="11">
        <f>D36*E36</f>
        <v/>
      </c>
    </row>
    <row r="37" ht="34" customHeight="1">
      <c r="A37" s="10" t="inlineStr">
        <is>
          <t>4. 图片采集与视觉理解</t>
        </is>
      </c>
      <c r="B37" s="10" t="inlineStr">
        <is>
          <t>千问视觉API接入</t>
        </is>
      </c>
      <c r="C37" s="10" t="inlineStr">
        <is>
          <t>调用视觉模型理解图片内容</t>
        </is>
      </c>
      <c r="D37" s="11" t="n">
        <v>1500</v>
      </c>
      <c r="E37" s="12" t="n">
        <v>2.5</v>
      </c>
      <c r="F37" s="11">
        <f>D37*E37</f>
        <v/>
      </c>
    </row>
    <row r="38" ht="34" customHeight="1">
      <c r="A38" s="10" t="inlineStr">
        <is>
          <t>4. 图片采集与视觉理解</t>
        </is>
      </c>
      <c r="B38" s="10" t="inlineStr">
        <is>
          <t>图片理解结果结构化</t>
        </is>
      </c>
      <c r="C38" s="10" t="inlineStr">
        <is>
          <t>提取车型、颜色、预算、用途等信息</t>
        </is>
      </c>
      <c r="D38" s="11" t="n">
        <v>1500</v>
      </c>
      <c r="E38" s="12" t="n">
        <v>2.5</v>
      </c>
      <c r="F38" s="11">
        <f>D38*E38</f>
        <v/>
      </c>
    </row>
    <row r="39" ht="34" customHeight="1">
      <c r="A39" s="13" t="inlineStr">
        <is>
          <t>4. 图片采集与视觉理解</t>
        </is>
      </c>
      <c r="B39" s="13" t="inlineStr">
        <is>
          <t>小计</t>
        </is>
      </c>
      <c r="C39" s="13" t="n"/>
      <c r="D39" s="14" t="n"/>
      <c r="E39" s="15">
        <f>SUM(E33:E38)</f>
        <v/>
      </c>
      <c r="F39" s="14">
        <f>SUM(F33:F38)</f>
        <v/>
      </c>
    </row>
    <row r="40" ht="34" customHeight="1">
      <c r="A40" s="10" t="inlineStr">
        <is>
          <t>5. 图文回复训练与编排</t>
        </is>
      </c>
      <c r="B40" s="10" t="inlineStr">
        <is>
          <t>二手车图片咨询场景梳理</t>
        </is>
      </c>
      <c r="C40" s="10" t="inlineStr">
        <is>
          <t>梳理客户发图常见意图</t>
        </is>
      </c>
      <c r="D40" s="11" t="n">
        <v>1500</v>
      </c>
      <c r="E40" s="12" t="n">
        <v>2</v>
      </c>
      <c r="F40" s="11">
        <f>D40*E40</f>
        <v/>
      </c>
    </row>
    <row r="41" ht="34" customHeight="1">
      <c r="A41" s="10" t="inlineStr">
        <is>
          <t>5. 图文回复训练与编排</t>
        </is>
      </c>
      <c r="B41" s="10" t="inlineStr">
        <is>
          <t>图文回复样本构建</t>
        </is>
      </c>
      <c r="C41" s="10" t="inlineStr">
        <is>
          <t>构建图文对话训练/调优样本</t>
        </is>
      </c>
      <c r="D41" s="11" t="n">
        <v>1500</v>
      </c>
      <c r="E41" s="12" t="n">
        <v>2.5</v>
      </c>
      <c r="F41" s="11">
        <f>D41*E41</f>
        <v/>
      </c>
    </row>
    <row r="42" ht="34" customHeight="1">
      <c r="A42" s="10" t="inlineStr">
        <is>
          <t>5. 图文回复训练与编排</t>
        </is>
      </c>
      <c r="B42" s="10" t="inlineStr">
        <is>
          <t>图片理解结果接入evidence pack</t>
        </is>
      </c>
      <c r="C42" s="10" t="inlineStr">
        <is>
          <t>将图片识别结果交给OmniAuto回复引擎</t>
        </is>
      </c>
      <c r="D42" s="11" t="n">
        <v>1500</v>
      </c>
      <c r="E42" s="12" t="n">
        <v>2</v>
      </c>
      <c r="F42" s="11">
        <f>D42*E42</f>
        <v/>
      </c>
    </row>
    <row r="43" ht="34" customHeight="1">
      <c r="A43" s="10" t="inlineStr">
        <is>
          <t>5. 图文回复训练与编排</t>
        </is>
      </c>
      <c r="B43" s="10" t="inlineStr">
        <is>
          <t>图文回复提示词/风格规则</t>
        </is>
      </c>
      <c r="C43" s="10" t="inlineStr">
        <is>
          <t>调整图文回复口吻和销售风格</t>
        </is>
      </c>
      <c r="D43" s="11" t="n">
        <v>1500</v>
      </c>
      <c r="E43" s="12" t="n">
        <v>2</v>
      </c>
      <c r="F43" s="11">
        <f>D43*E43</f>
        <v/>
      </c>
    </row>
    <row r="44" ht="34" customHeight="1">
      <c r="A44" s="10" t="inlineStr">
        <is>
          <t>5. 图文回复训练与编排</t>
        </is>
      </c>
      <c r="B44" s="10" t="inlineStr">
        <is>
          <t>图文回复Guard规则</t>
        </is>
      </c>
      <c r="C44" s="10" t="inlineStr">
        <is>
          <t>防止图片回复乱承诺价格、车况、金融</t>
        </is>
      </c>
      <c r="D44" s="11" t="n">
        <v>1500</v>
      </c>
      <c r="E44" s="12" t="n">
        <v>2</v>
      </c>
      <c r="F44" s="11">
        <f>D44*E44</f>
        <v/>
      </c>
    </row>
    <row r="45" ht="34" customHeight="1">
      <c r="A45" s="10" t="inlineStr">
        <is>
          <t>5. 图文回复训练与编排</t>
        </is>
      </c>
      <c r="B45" s="10" t="inlineStr">
        <is>
          <t>图片回复回归测试集</t>
        </is>
      </c>
      <c r="C45" s="10" t="inlineStr">
        <is>
          <t>固化图片场景测试用例</t>
        </is>
      </c>
      <c r="D45" s="11" t="n">
        <v>1500</v>
      </c>
      <c r="E45" s="12" t="n">
        <v>1.5</v>
      </c>
      <c r="F45" s="11">
        <f>D45*E45</f>
        <v/>
      </c>
    </row>
    <row r="46" ht="34" customHeight="1">
      <c r="A46" s="13" t="inlineStr">
        <is>
          <t>5. 图文回复训练与编排</t>
        </is>
      </c>
      <c r="B46" s="13" t="inlineStr">
        <is>
          <t>小计</t>
        </is>
      </c>
      <c r="C46" s="13" t="n"/>
      <c r="D46" s="14" t="n"/>
      <c r="E46" s="15">
        <f>SUM(E40:E45)</f>
        <v/>
      </c>
      <c r="F46" s="14">
        <f>SUM(F40:F45)</f>
        <v/>
      </c>
    </row>
    <row r="47" ht="34" customHeight="1">
      <c r="A47" s="10" t="inlineStr">
        <is>
          <t>6. 大风车与车源索引</t>
        </is>
      </c>
      <c r="B47" s="10" t="inlineStr">
        <is>
          <t>大风车鉴权签名封装</t>
        </is>
      </c>
      <c r="C47" s="10" t="inlineStr">
        <is>
          <t>封装appKey/appSecret签名</t>
        </is>
      </c>
      <c r="D47" s="11" t="n">
        <v>1500</v>
      </c>
      <c r="E47" s="12" t="n">
        <v>0.5</v>
      </c>
      <c r="F47" s="11">
        <f>D47*E47</f>
        <v/>
      </c>
    </row>
    <row r="48" ht="34" customHeight="1">
      <c r="A48" s="10" t="inlineStr">
        <is>
          <t>6. 大风车与车源索引</t>
        </is>
      </c>
      <c r="B48" s="10" t="inlineStr">
        <is>
          <t>店铺/车辆ID拉取适配</t>
        </is>
      </c>
      <c r="C48" s="10" t="inlineStr">
        <is>
          <t>拉取指定店铺车源ID</t>
        </is>
      </c>
      <c r="D48" s="11" t="n">
        <v>1500</v>
      </c>
      <c r="E48" s="12" t="n">
        <v>0.5</v>
      </c>
      <c r="F48" s="11">
        <f>D48*E48</f>
        <v/>
      </c>
    </row>
    <row r="49" ht="34" customHeight="1">
      <c r="A49" s="10" t="inlineStr">
        <is>
          <t>6. 大风车与车源索引</t>
        </is>
      </c>
      <c r="B49" s="10" t="inlineStr">
        <is>
          <t>车辆详情字段清洗</t>
        </is>
      </c>
      <c r="C49" s="10" t="inlineStr">
        <is>
          <t>清洗品牌、车型、里程、价格等字段</t>
        </is>
      </c>
      <c r="D49" s="11" t="n">
        <v>1500</v>
      </c>
      <c r="E49" s="12" t="n">
        <v>0.5</v>
      </c>
      <c r="F49" s="11">
        <f>D49*E49</f>
        <v/>
      </c>
    </row>
    <row r="50" ht="34" customHeight="1">
      <c r="A50" s="10" t="inlineStr">
        <is>
          <t>6. 大风车与车源索引</t>
        </is>
      </c>
      <c r="B50" s="10" t="inlineStr">
        <is>
          <t>车辆图片拉取适配</t>
        </is>
      </c>
      <c r="C50" s="10" t="inlineStr">
        <is>
          <t>获取车辆图片链接</t>
        </is>
      </c>
      <c r="D50" s="11" t="n">
        <v>1500</v>
      </c>
      <c r="E50" s="12" t="n">
        <v>0.5</v>
      </c>
      <c r="F50" s="11">
        <f>D50*E50</f>
        <v/>
      </c>
    </row>
    <row r="51" ht="34" customHeight="1">
      <c r="A51" s="10" t="inlineStr">
        <is>
          <t>6. 大风车与车源索引</t>
        </is>
      </c>
      <c r="B51" s="10" t="inlineStr">
        <is>
          <t>AI可见字段白名单</t>
        </is>
      </c>
      <c r="C51" s="10" t="inlineStr">
        <is>
          <t>隔离底价、车主信息等敏感字段</t>
        </is>
      </c>
      <c r="D51" s="11" t="n">
        <v>1500</v>
      </c>
      <c r="E51" s="12" t="n">
        <v>0.5</v>
      </c>
      <c r="F51" s="11">
        <f>D51*E51</f>
        <v/>
      </c>
    </row>
    <row r="52" ht="34" customHeight="1">
      <c r="A52" s="10" t="inlineStr">
        <is>
          <t>6. 大风车与车源索引</t>
        </is>
      </c>
      <c r="B52" s="10" t="inlineStr">
        <is>
          <t>本地车源索引</t>
        </is>
      </c>
      <c r="C52" s="10" t="inlineStr">
        <is>
          <t>建立本地可检索车源数据</t>
        </is>
      </c>
      <c r="D52" s="11" t="n">
        <v>1500</v>
      </c>
      <c r="E52" s="12" t="n">
        <v>0.5</v>
      </c>
      <c r="F52" s="11">
        <f>D52*E52</f>
        <v/>
      </c>
    </row>
    <row r="53" ht="34" customHeight="1">
      <c r="A53" s="13" t="inlineStr">
        <is>
          <t>6. 大风车与车源索引</t>
        </is>
      </c>
      <c r="B53" s="13" t="inlineStr">
        <is>
          <t>小计</t>
        </is>
      </c>
      <c r="C53" s="13" t="n"/>
      <c r="D53" s="14" t="n"/>
      <c r="E53" s="15">
        <f>SUM(E47:E52)</f>
        <v/>
      </c>
      <c r="F53" s="14">
        <f>SUM(F47:F52)</f>
        <v/>
      </c>
    </row>
    <row r="54" ht="34" customHeight="1">
      <c r="A54" s="10" t="inlineStr">
        <is>
          <t>7. 测试部署与交付</t>
        </is>
      </c>
      <c r="B54" s="10" t="inlineStr">
        <is>
          <t>Windows测试环境部署</t>
        </is>
      </c>
      <c r="C54" s="10" t="inlineStr">
        <is>
          <t>部署销售电脑运行环境</t>
        </is>
      </c>
      <c r="D54" s="11" t="n">
        <v>1500</v>
      </c>
      <c r="E54" s="12" t="n">
        <v>1.5</v>
      </c>
      <c r="F54" s="11">
        <f>D54*E54</f>
        <v/>
      </c>
    </row>
    <row r="55" ht="34" customHeight="1">
      <c r="A55" s="10" t="inlineStr">
        <is>
          <t>7. 测试部署与交付</t>
        </is>
      </c>
      <c r="B55" s="10" t="inlineStr">
        <is>
          <t>端到端流程联调</t>
        </is>
      </c>
      <c r="C55" s="10" t="inlineStr">
        <is>
          <t>验证线索到接管完整流程</t>
        </is>
      </c>
      <c r="D55" s="11" t="n">
        <v>1500</v>
      </c>
      <c r="E55" s="12" t="n">
        <v>2.5</v>
      </c>
      <c r="F55" s="11">
        <f>D55*E55</f>
        <v/>
      </c>
    </row>
    <row r="56" ht="34" customHeight="1">
      <c r="A56" s="10" t="inlineStr">
        <is>
          <t>7. 测试部署与交付</t>
        </is>
      </c>
      <c r="B56" s="10" t="inlineStr">
        <is>
          <t>失败任务/异常场景测试</t>
        </is>
      </c>
      <c r="C56" s="10" t="inlineStr">
        <is>
          <t>测试加好友失败、图片失败、AI停止等场景</t>
        </is>
      </c>
      <c r="D56" s="11" t="n">
        <v>1500</v>
      </c>
      <c r="E56" s="12" t="n">
        <v>2</v>
      </c>
      <c r="F56" s="11">
        <f>D56*E56</f>
        <v/>
      </c>
    </row>
    <row r="57" ht="34" customHeight="1">
      <c r="A57" s="10" t="inlineStr">
        <is>
          <t>7. 测试部署与交付</t>
        </is>
      </c>
      <c r="B57" s="10" t="inlineStr">
        <is>
          <t>真实微信灰度测试支持</t>
        </is>
      </c>
      <c r="C57" s="10" t="inlineStr">
        <is>
          <t>使用真实微信账号小范围试跑</t>
        </is>
      </c>
      <c r="D57" s="11" t="n">
        <v>1500</v>
      </c>
      <c r="E57" s="12" t="n">
        <v>2.5</v>
      </c>
      <c r="F57" s="11">
        <f>D57*E57</f>
        <v/>
      </c>
    </row>
    <row r="58" ht="34" customHeight="1">
      <c r="A58" s="10" t="inlineStr">
        <is>
          <t>7. 测试部署与交付</t>
        </is>
      </c>
      <c r="B58" s="10" t="inlineStr">
        <is>
          <t>交付文档/操作说明</t>
        </is>
      </c>
      <c r="C58" s="10" t="inlineStr">
        <is>
          <t>提供部署、使用和常见问题说明</t>
        </is>
      </c>
      <c r="D58" s="11" t="n">
        <v>1500</v>
      </c>
      <c r="E58" s="12" t="n">
        <v>1.5</v>
      </c>
      <c r="F58" s="11">
        <f>D58*E58</f>
        <v/>
      </c>
    </row>
    <row r="59" ht="34" customHeight="1">
      <c r="A59" s="13" t="inlineStr">
        <is>
          <t>7. 测试部署与交付</t>
        </is>
      </c>
      <c r="B59" s="13" t="inlineStr">
        <is>
          <t>小计</t>
        </is>
      </c>
      <c r="C59" s="13" t="n"/>
      <c r="D59" s="14" t="n"/>
      <c r="E59" s="15">
        <f>SUM(E54:E58)</f>
        <v/>
      </c>
      <c r="F59" s="14">
        <f>SUM(F54:F58)</f>
        <v/>
      </c>
    </row>
    <row r="60" ht="34" customHeight="1">
      <c r="A60" s="10" t="inlineStr">
        <is>
          <t>8. 项目管理与验收协调</t>
        </is>
      </c>
      <c r="B60" s="10" t="inlineStr">
        <is>
          <t>需求细化与范围确认</t>
        </is>
      </c>
      <c r="C60" s="10" t="inlineStr">
        <is>
          <t>确认一期正式工程范围和边界</t>
        </is>
      </c>
      <c r="D60" s="11" t="n">
        <v>1500</v>
      </c>
      <c r="E60" s="12" t="n">
        <v>0.5</v>
      </c>
      <c r="F60" s="11">
        <f>D60*E60</f>
        <v/>
      </c>
    </row>
    <row r="61" ht="34" customHeight="1">
      <c r="A61" s="10" t="inlineStr">
        <is>
          <t>8. 项目管理与验收协调</t>
        </is>
      </c>
      <c r="B61" s="10" t="inlineStr">
        <is>
          <t>销售规则确认与待办跟进</t>
        </is>
      </c>
      <c r="C61" s="10" t="inlineStr">
        <is>
          <t>跟进接管规则、大风车参数等待办</t>
        </is>
      </c>
      <c r="D61" s="11" t="n">
        <v>1500</v>
      </c>
      <c r="E61" s="12" t="n">
        <v>1</v>
      </c>
      <c r="F61" s="11">
        <f>D61*E61</f>
        <v/>
      </c>
    </row>
    <row r="62" ht="34" customHeight="1">
      <c r="A62" s="10" t="inlineStr">
        <is>
          <t>8. 项目管理与验收协调</t>
        </is>
      </c>
      <c r="B62" s="10" t="inlineStr">
        <is>
          <t>周期沟通与进度同步</t>
        </is>
      </c>
      <c r="C62" s="10" t="inlineStr">
        <is>
          <t>阶段性同步进度和风险</t>
        </is>
      </c>
      <c r="D62" s="11" t="n">
        <v>1500</v>
      </c>
      <c r="E62" s="12" t="n">
        <v>0.5</v>
      </c>
      <c r="F62" s="11">
        <f>D62*E62</f>
        <v/>
      </c>
    </row>
    <row r="63" ht="34" customHeight="1">
      <c r="A63" s="10" t="inlineStr">
        <is>
          <t>8. 项目管理与验收协调</t>
        </is>
      </c>
      <c r="B63" s="10" t="inlineStr">
        <is>
          <t>验收用例整理</t>
        </is>
      </c>
      <c r="C63" s="10" t="inlineStr">
        <is>
          <t>整理交付验收清单</t>
        </is>
      </c>
      <c r="D63" s="11" t="n">
        <v>1500</v>
      </c>
      <c r="E63" s="12" t="n">
        <v>0.5</v>
      </c>
      <c r="F63" s="11">
        <f>D63*E63</f>
        <v/>
      </c>
    </row>
    <row r="64" ht="34" customHeight="1">
      <c r="A64" s="10" t="inlineStr">
        <is>
          <t>8. 项目管理与验收协调</t>
        </is>
      </c>
      <c r="B64" s="10" t="inlineStr">
        <is>
          <t>上线问题协调</t>
        </is>
      </c>
      <c r="C64" s="10" t="inlineStr">
        <is>
          <t>协调试运行期间问题</t>
        </is>
      </c>
      <c r="D64" s="11" t="n">
        <v>1500</v>
      </c>
      <c r="E64" s="12" t="n">
        <v>0.5</v>
      </c>
      <c r="F64" s="11">
        <f>D64*E64</f>
        <v/>
      </c>
    </row>
    <row r="65" ht="34" customHeight="1">
      <c r="A65" s="13" t="inlineStr">
        <is>
          <t>8. 项目管理与验收协调</t>
        </is>
      </c>
      <c r="B65" s="13" t="inlineStr">
        <is>
          <t>小计</t>
        </is>
      </c>
      <c r="C65" s="13" t="n"/>
      <c r="D65" s="14" t="n"/>
      <c r="E65" s="15">
        <f>SUM(E60:E64)</f>
        <v/>
      </c>
      <c r="F65" s="14">
        <f>SUM(F60:F64)</f>
        <v/>
      </c>
    </row>
    <row r="66" ht="34" customHeight="1">
      <c r="A66" s="16" t="inlineStr">
        <is>
          <t>合计</t>
        </is>
      </c>
      <c r="B66" s="16" t="n"/>
      <c r="C66" s="16" t="n"/>
      <c r="D66" s="17" t="n"/>
      <c r="E66" s="18">
        <f>SUMIF(B9:B65,"小计",E9:E65)</f>
        <v/>
      </c>
      <c r="F66" s="17">
        <f>SUMIF(B9:B65,"小计",F9:F65)</f>
        <v/>
      </c>
    </row>
    <row r="69">
      <c r="A69" s="19" t="inlineStr">
        <is>
          <t>付款节点</t>
        </is>
      </c>
    </row>
    <row r="70">
      <c r="A70" s="20" t="inlineStr">
        <is>
          <t>节点</t>
        </is>
      </c>
      <c r="B70" s="20" t="inlineStr">
        <is>
          <t>比例</t>
        </is>
      </c>
      <c r="C70" s="20" t="inlineStr">
        <is>
          <t>金额</t>
        </is>
      </c>
      <c r="D70" s="20" t="inlineStr">
        <is>
          <t>触发条件</t>
        </is>
      </c>
    </row>
    <row r="71" ht="36" customHeight="1">
      <c r="A71" s="10" t="inlineStr">
        <is>
          <t>启动款</t>
        </is>
      </c>
      <c r="B71" s="21" t="n">
        <v>0.3</v>
      </c>
      <c r="C71" s="11">
        <f>F66*B71</f>
        <v/>
      </c>
      <c r="D71" s="10" t="inlineStr">
        <is>
          <t>需求范围确认、项目启动</t>
        </is>
      </c>
    </row>
    <row r="72" ht="36" customHeight="1">
      <c r="A72" s="10" t="inlineStr">
        <is>
          <t>文字链路闭环</t>
        </is>
      </c>
      <c r="B72" s="21" t="n">
        <v>0.4</v>
      </c>
      <c r="C72" s="11">
        <f>F66*B72</f>
        <v/>
      </c>
      <c r="D72" s="10" t="inlineStr">
        <is>
          <t>线索、加好友、文字AI回复链路可演示</t>
        </is>
      </c>
    </row>
    <row r="73" ht="36" customHeight="1">
      <c r="A73" s="10" t="inlineStr">
        <is>
          <t>图片链路闭环</t>
        </is>
      </c>
      <c r="B73" s="21" t="n">
        <v>0.2</v>
      </c>
      <c r="C73" s="11">
        <f>F66*B73</f>
        <v/>
      </c>
      <c r="D73" s="10" t="inlineStr">
        <is>
          <t>图片采集、视觉理解、图文回复链路可演示</t>
        </is>
      </c>
    </row>
    <row r="74" ht="36" customHeight="1">
      <c r="A74" s="10" t="inlineStr">
        <is>
          <t>试运行验收</t>
        </is>
      </c>
      <c r="B74" s="21" t="n">
        <v>0.1</v>
      </c>
      <c r="C74" s="11">
        <f>F66*B74</f>
        <v/>
      </c>
      <c r="D74" s="10" t="inlineStr">
        <is>
          <t>灰度试运行及验收问题修复完成</t>
        </is>
      </c>
    </row>
    <row r="75" ht="36" customHeight="1"/>
    <row r="76" ht="36" customHeight="1"/>
    <row r="77" ht="36" customHeight="1">
      <c r="A77" s="19" t="inlineStr">
        <is>
          <t>报价边界</t>
        </is>
      </c>
    </row>
    <row r="78" ht="36" customHeight="1">
      <c r="A78" s="22" t="inlineStr">
        <is>
          <t>包含</t>
        </is>
      </c>
      <c r="B78" s="10" t="inlineStr">
        <is>
          <t>手机号线索导入、销售分配、个人微信手机号加好友、备注绑定、文字AI回复、图片另存、千问视觉理解、图文自动回复、本地车源索引、大风车基础适配、销售手动回复后AI停止、基础任务看板、日志与失败重试。</t>
        </is>
      </c>
      <c r="C78" s="10" t="n"/>
      <c r="D78" s="10" t="n"/>
      <c r="E78" s="10" t="n"/>
      <c r="F78" s="10" t="n"/>
    </row>
    <row r="79" ht="36" customHeight="1">
      <c r="A79" s="22" t="inlineStr">
        <is>
          <t>不包含</t>
        </is>
      </c>
      <c r="B79" s="10" t="inlineStr">
        <is>
          <t>完整SaaS、复杂权限、计费、多商户隔离、抖音官方API、复杂BI报表、模型微调、高可用部署、长期运维、大风车商务开通费用、模型调用费、短信费、云资源费。</t>
        </is>
      </c>
      <c r="C79" s="10" t="n"/>
      <c r="D79" s="10" t="n"/>
      <c r="E79" s="10" t="n"/>
      <c r="F79" s="10" t="n"/>
    </row>
    <row r="80" ht="36" customHeight="1">
      <c r="A80" s="22" t="inlineStr">
        <is>
          <t>前提</t>
        </is>
      </c>
      <c r="B80" s="10" t="inlineStr">
        <is>
          <t>甲方及时提供微信测试电脑、测试销售微信、小风车线索样本、大风车参数、千问视觉API Key、销售接管规则、图片测试样本。</t>
        </is>
      </c>
      <c r="C80" s="10" t="n"/>
      <c r="D80" s="10" t="n"/>
      <c r="E80" s="10" t="n"/>
      <c r="F80" s="10" t="n"/>
    </row>
    <row r="81" ht="36" customHeight="1"/>
  </sheetData>
  <mergeCells count="4">
    <mergeCell ref="B78:F78"/>
    <mergeCell ref="A1:F1"/>
    <mergeCell ref="B79:F79"/>
    <mergeCell ref="B80:F80"/>
  </mergeCells>
  <dataValidations count="1">
    <dataValidation sqref="E11:E65" showDropDown="0" showInputMessage="0" showErrorMessage="0" allowBlank="0" errorTitle="输入错误" error="人天必须为数字" type="decimal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</cols>
  <sheetData>
    <row r="1">
      <c r="A1" s="23" t="inlineStr">
        <is>
          <t>AI智能客服售前跟进系统 报价总览</t>
        </is>
      </c>
    </row>
    <row r="3">
      <c r="A3" s="2" t="inlineStr">
        <is>
          <t>总工程量</t>
        </is>
      </c>
      <c r="B3" s="6">
        <f>'报价明细'!E66</f>
        <v/>
      </c>
    </row>
    <row r="4">
      <c r="A4" s="2" t="inlineStr">
        <is>
          <t>人天单价</t>
        </is>
      </c>
      <c r="B4" s="5" t="n">
        <v>1500</v>
      </c>
    </row>
    <row r="5">
      <c r="A5" s="2" t="inlineStr">
        <is>
          <t>项目总价</t>
        </is>
      </c>
      <c r="B5" s="5">
        <f>'报价明细'!F66</f>
        <v/>
      </c>
    </row>
    <row r="6">
      <c r="A6" s="2" t="inlineStr">
        <is>
          <t>周期</t>
        </is>
      </c>
      <c r="B6" t="inlineStr">
        <is>
          <t>6-8周</t>
        </is>
      </c>
    </row>
    <row r="8">
      <c r="A8" s="20" t="inlineStr">
        <is>
          <t>模块</t>
        </is>
      </c>
      <c r="B8" s="20" t="inlineStr">
        <is>
          <t>人天</t>
        </is>
      </c>
      <c r="C8" s="20" t="inlineStr">
        <is>
          <t>金额</t>
        </is>
      </c>
      <c r="D8" s="20" t="n"/>
      <c r="E8" s="20" t="n"/>
    </row>
    <row r="9">
      <c r="A9" s="10" t="inlineStr">
        <is>
          <t>1. 线索与销售任务</t>
        </is>
      </c>
      <c r="B9" s="12" t="n">
        <v>2</v>
      </c>
      <c r="C9" s="11">
        <f>B9*B4</f>
        <v/>
      </c>
    </row>
    <row r="10">
      <c r="A10" s="10" t="inlineStr">
        <is>
          <t>2. RPA加好友与备注绑定</t>
        </is>
      </c>
      <c r="B10" s="12" t="n">
        <v>4</v>
      </c>
      <c r="C10" s="11">
        <f>B10*B4</f>
        <v/>
      </c>
    </row>
    <row r="11">
      <c r="A11" s="10" t="inlineStr">
        <is>
          <t>3. 文字AI回复链路</t>
        </is>
      </c>
      <c r="B11" s="12" t="n">
        <v>11.5</v>
      </c>
      <c r="C11" s="11">
        <f>B11*B4</f>
        <v/>
      </c>
    </row>
    <row r="12">
      <c r="A12" s="10" t="inlineStr">
        <is>
          <t>4. 图片采集与视觉理解</t>
        </is>
      </c>
      <c r="B12" s="12" t="n">
        <v>12.5</v>
      </c>
      <c r="C12" s="11">
        <f>B12*B4</f>
        <v/>
      </c>
    </row>
    <row r="13">
      <c r="A13" s="10" t="inlineStr">
        <is>
          <t>5. 图文回复训练与编排</t>
        </is>
      </c>
      <c r="B13" s="12" t="n">
        <v>12</v>
      </c>
      <c r="C13" s="11">
        <f>B13*B4</f>
        <v/>
      </c>
    </row>
    <row r="14">
      <c r="A14" s="10" t="inlineStr">
        <is>
          <t>6. 大风车与车源索引</t>
        </is>
      </c>
      <c r="B14" s="12" t="n">
        <v>3</v>
      </c>
      <c r="C14" s="11">
        <f>B14*B4</f>
        <v/>
      </c>
    </row>
    <row r="15">
      <c r="A15" s="10" t="inlineStr">
        <is>
          <t>7. 测试部署与交付</t>
        </is>
      </c>
      <c r="B15" s="12" t="n">
        <v>10</v>
      </c>
      <c r="C15" s="11">
        <f>B15*B4</f>
        <v/>
      </c>
    </row>
    <row r="16">
      <c r="A16" s="10" t="inlineStr">
        <is>
          <t>8. 项目管理与验收协调</t>
        </is>
      </c>
      <c r="B16" s="12" t="n">
        <v>3</v>
      </c>
      <c r="C16" s="11">
        <f>B16*B4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2026-05-26T01:18:17Z</dcterms:created>
  <dcterms:modified xmlns:dcterms="http://purl.org/dc/terms/" xmlns:xsi="http://www.w3.org/2001/XMLSchema-instance" xsi:type="dcterms:W3CDTF">2026-05-26T01:18:17Z</dcterms:modified>
</cp:coreProperties>
</file>